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6"/>
  <workbookPr filterPrivacy="1"/>
  <xr:revisionPtr revIDLastSave="0" documentId="8_{AAA46AD0-3D15-438B-A0EA-97E2AC358901}" xr6:coauthVersionLast="47" xr6:coauthVersionMax="47" xr10:uidLastSave="{00000000-0000-0000-0000-000000000000}"/>
  <bookViews>
    <workbookView xWindow="28680" yWindow="-120" windowWidth="29040" windowHeight="15720" firstSheet="1" activeTab="1" xr2:uid="{DA753428-8440-453A-8566-A7B386178523}"/>
  </bookViews>
  <sheets>
    <sheet name="Sheet1" sheetId="1" r:id="rId1"/>
    <sheet name="Sheet2" sheetId="2" r:id="rId2"/>
    <sheet name="Sheet3" sheetId="3" r:id="rId3"/>
  </sheets>
  <definedNames>
    <definedName name="_xlnm._FilterDatabase" localSheetId="1" hidden="1">Sheet2!$A$12:$AJ$17</definedName>
    <definedName name="_xlnm.Print_Titles" localSheetId="0">Sheet1!$1:$1</definedName>
    <definedName name="_xlnm.Print_Titles" localSheetId="1">Sheet2!$1:$1</definedName>
    <definedName name="_xlnm.Print_Titles" localSheetId="2">Sheet3!$1:$1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2" l="1"/>
  <c r="B15" i="2"/>
  <c r="B16" i="2"/>
  <c r="B17" i="2"/>
  <c r="B13" i="2"/>
</calcChain>
</file>

<file path=xl/sharedStrings.xml><?xml version="1.0" encoding="utf-8"?>
<sst xmlns="http://schemas.openxmlformats.org/spreadsheetml/2006/main" count="121" uniqueCount="91">
  <si>
    <r>
      <t xml:space="preserve">PreCommitment Statements (From </t>
    </r>
    <r>
      <rPr>
        <sz val="20"/>
        <color indexed="8"/>
        <rFont val="Tahoma"/>
        <family val="2"/>
      </rPr>
      <t>01-Mar-2025</t>
    </r>
    <r>
      <rPr>
        <b/>
        <sz val="11.95"/>
        <color indexed="8"/>
        <rFont val="Tahoma"/>
        <family val="2"/>
      </rPr>
      <t xml:space="preserve"> </t>
    </r>
    <r>
      <rPr>
        <sz val="20"/>
        <color indexed="8"/>
        <rFont val="Tahoma"/>
        <family val="2"/>
      </rPr>
      <t xml:space="preserve">to </t>
    </r>
    <r>
      <rPr>
        <sz val="20"/>
        <color indexed="8"/>
        <rFont val="Tahoma"/>
        <family val="2"/>
      </rPr>
      <t>30-Jun-2025</t>
    </r>
    <r>
      <rPr>
        <sz val="20"/>
        <color indexed="8"/>
        <rFont val="Tahoma"/>
        <family val="2"/>
      </rPr>
      <t>)</t>
    </r>
  </si>
  <si>
    <t>Release 5</t>
  </si>
  <si>
    <t xml:space="preserve">Player Details
</t>
  </si>
  <si>
    <t>EMAIL</t>
  </si>
  <si>
    <t>POSTAL</t>
  </si>
  <si>
    <t>Acct</t>
  </si>
  <si>
    <t>Firstname</t>
  </si>
  <si>
    <t>Last Name</t>
  </si>
  <si>
    <t>Preferred Name</t>
  </si>
  <si>
    <t>Is Email</t>
  </si>
  <si>
    <t>Is Email Inactive</t>
  </si>
  <si>
    <t>Email Address</t>
  </si>
  <si>
    <t>Is Postal</t>
  </si>
  <si>
    <t>Address1</t>
  </si>
  <si>
    <t>Address2</t>
  </si>
  <si>
    <t>City</t>
  </si>
  <si>
    <t>State Name</t>
  </si>
  <si>
    <t>Postal Code</t>
  </si>
  <si>
    <t>Country</t>
  </si>
  <si>
    <t>Last</t>
  </si>
  <si>
    <t>megan.vandernoord@adelaidecasino.com.au</t>
  </si>
  <si>
    <t>North Tce</t>
  </si>
  <si>
    <t>Adelaide</t>
  </si>
  <si>
    <t>South Australia</t>
  </si>
  <si>
    <t>5048</t>
  </si>
  <si>
    <t>Australia</t>
  </si>
  <si>
    <t>Man</t>
  </si>
  <si>
    <t>Fred</t>
  </si>
  <si>
    <t>That Place</t>
  </si>
  <si>
    <t>ALLENBY GARDENS</t>
  </si>
  <si>
    <t>5009</t>
  </si>
  <si>
    <t>Lady</t>
  </si>
  <si>
    <t>Tripe</t>
  </si>
  <si>
    <t>SkyCity Casino</t>
  </si>
  <si>
    <t>ENFIELD</t>
  </si>
  <si>
    <t>5085</t>
  </si>
  <si>
    <t>Zoe</t>
  </si>
  <si>
    <t>Mow</t>
  </si>
  <si>
    <t>Rewards Desk</t>
  </si>
  <si>
    <t>RENOWN PARK</t>
  </si>
  <si>
    <t>5008</t>
  </si>
  <si>
    <t>John</t>
  </si>
  <si>
    <t>Dow</t>
  </si>
  <si>
    <t>1 Street St</t>
  </si>
  <si>
    <t>ELIZABETH SOUTH</t>
  </si>
  <si>
    <t>5112</t>
  </si>
  <si>
    <t>,</t>
  </si>
  <si>
    <t xml:space="preserve">Enrolment Details
</t>
  </si>
  <si>
    <t>LIMITS</t>
  </si>
  <si>
    <t>NO PLAY PERIOD</t>
  </si>
  <si>
    <t>BREAK PERIOD</t>
  </si>
  <si>
    <t>Enrolled</t>
  </si>
  <si>
    <t>Un Enrolled</t>
  </si>
  <si>
    <t>Status</t>
  </si>
  <si>
    <t>Is Play</t>
  </si>
  <si>
    <t>Breaches</t>
  </si>
  <si>
    <t>Start Day</t>
  </si>
  <si>
    <t>Consecutive Days</t>
  </si>
  <si>
    <t>Daily Budget</t>
  </si>
  <si>
    <t>Daily Time</t>
  </si>
  <si>
    <t>Weekly Budget</t>
  </si>
  <si>
    <t>Weekly Time</t>
  </si>
  <si>
    <t>Monthly Budget</t>
  </si>
  <si>
    <t>Monthy Time</t>
  </si>
  <si>
    <r>
      <t xml:space="preserve">MON 
</t>
    </r>
    <r>
      <rPr>
        <sz val="11"/>
        <color indexed="8"/>
        <rFont val="Tahoma"/>
        <family val="2"/>
      </rPr>
      <t>Start</t>
    </r>
  </si>
  <si>
    <r>
      <t xml:space="preserve">MON 
</t>
    </r>
    <r>
      <rPr>
        <sz val="11"/>
        <color indexed="8"/>
        <rFont val="Tahoma"/>
        <family val="2"/>
      </rPr>
      <t xml:space="preserve">End </t>
    </r>
  </si>
  <si>
    <r>
      <t xml:space="preserve">TUE 
</t>
    </r>
    <r>
      <rPr>
        <sz val="11"/>
        <color indexed="8"/>
        <rFont val="Tahoma"/>
        <family val="2"/>
      </rPr>
      <t xml:space="preserve">Start </t>
    </r>
  </si>
  <si>
    <r>
      <t xml:space="preserve">TUE 
</t>
    </r>
    <r>
      <rPr>
        <sz val="11"/>
        <color indexed="8"/>
        <rFont val="Tahoma"/>
        <family val="2"/>
      </rPr>
      <t xml:space="preserve">End </t>
    </r>
  </si>
  <si>
    <r>
      <t xml:space="preserve">WED 
</t>
    </r>
    <r>
      <rPr>
        <sz val="11"/>
        <color indexed="8"/>
        <rFont val="Tahoma"/>
        <family val="2"/>
      </rPr>
      <t xml:space="preserve">Start </t>
    </r>
  </si>
  <si>
    <r>
      <t xml:space="preserve">WED 
</t>
    </r>
    <r>
      <rPr>
        <sz val="11"/>
        <color indexed="8"/>
        <rFont val="Tahoma"/>
        <family val="2"/>
      </rPr>
      <t xml:space="preserve">End </t>
    </r>
  </si>
  <si>
    <r>
      <t xml:space="preserve">THU 
</t>
    </r>
    <r>
      <rPr>
        <sz val="11"/>
        <color indexed="8"/>
        <rFont val="Tahoma"/>
        <family val="2"/>
      </rPr>
      <t xml:space="preserve">Start </t>
    </r>
  </si>
  <si>
    <r>
      <t xml:space="preserve">THU 
</t>
    </r>
    <r>
      <rPr>
        <sz val="11"/>
        <color indexed="8"/>
        <rFont val="Tahoma"/>
        <family val="2"/>
      </rPr>
      <t xml:space="preserve">End </t>
    </r>
  </si>
  <si>
    <r>
      <t xml:space="preserve">FRI 
</t>
    </r>
    <r>
      <rPr>
        <sz val="11"/>
        <color indexed="8"/>
        <rFont val="Tahoma"/>
        <family val="2"/>
      </rPr>
      <t>Start</t>
    </r>
  </si>
  <si>
    <r>
      <t xml:space="preserve">FRI 
</t>
    </r>
    <r>
      <rPr>
        <sz val="11"/>
        <color indexed="8"/>
        <rFont val="Tahoma"/>
        <family val="2"/>
      </rPr>
      <t xml:space="preserve">End </t>
    </r>
  </si>
  <si>
    <r>
      <t xml:space="preserve">SAT 
</t>
    </r>
    <r>
      <rPr>
        <sz val="11"/>
        <color indexed="8"/>
        <rFont val="Tahoma"/>
        <family val="2"/>
      </rPr>
      <t xml:space="preserve">Start </t>
    </r>
  </si>
  <si>
    <r>
      <t xml:space="preserve">SAT 
</t>
    </r>
    <r>
      <rPr>
        <sz val="11"/>
        <color indexed="8"/>
        <rFont val="Tahoma"/>
        <family val="2"/>
      </rPr>
      <t xml:space="preserve">End </t>
    </r>
  </si>
  <si>
    <r>
      <t xml:space="preserve">SUN 
</t>
    </r>
    <r>
      <rPr>
        <sz val="11"/>
        <color indexed="8"/>
        <rFont val="Tahoma"/>
        <family val="2"/>
      </rPr>
      <t xml:space="preserve">Start </t>
    </r>
  </si>
  <si>
    <r>
      <t xml:space="preserve">SUN 
</t>
    </r>
    <r>
      <rPr>
        <sz val="11"/>
        <color indexed="8"/>
        <rFont val="Tahoma"/>
        <family val="2"/>
      </rPr>
      <t>End</t>
    </r>
  </si>
  <si>
    <t>Mins</t>
  </si>
  <si>
    <t>Every</t>
  </si>
  <si>
    <t>Hour</t>
  </si>
  <si>
    <t>Play</t>
  </si>
  <si>
    <t>Monday</t>
  </si>
  <si>
    <t>Wednesday</t>
  </si>
  <si>
    <t>Un-Enrolled</t>
  </si>
  <si>
    <t>No Play</t>
  </si>
  <si>
    <t xml:space="preserve">Player Activities
</t>
  </si>
  <si>
    <t>Session</t>
  </si>
  <si>
    <t>Session Win</t>
  </si>
  <si>
    <t>Session Loss</t>
  </si>
  <si>
    <t>Session Nett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</si>
</sst>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09]d/m/yyyy\ h:mm:ss\ AM/PM"/>
    <numFmt numFmtId="165" formatCode="[$-10409]&quot;$&quot;0.00;\(&quot;$&quot;0.00\)"/>
    <numFmt numFmtId="166" formatCode="h:mm;@"/>
  </numFmts>
  <fonts count="9">
    <font>
      <sz val="10"/>
      <name val="Arial"/>
    </font>
    <font>
      <sz val="20"/>
      <color indexed="8"/>
      <name val="Tahoma"/>
      <family val="2"/>
    </font>
    <font>
      <b/>
      <sz val="11.95"/>
      <color indexed="8"/>
      <name val="Tahoma"/>
      <family val="2"/>
    </font>
    <font>
      <b/>
      <sz val="9"/>
      <color indexed="8"/>
      <name val="Tahoma"/>
      <family val="2"/>
    </font>
    <font>
      <b/>
      <sz val="11"/>
      <color indexed="10"/>
      <name val="Tahoma"/>
      <family val="2"/>
    </font>
    <font>
      <sz val="11"/>
      <color indexed="10"/>
      <name val="Tahoma"/>
      <family val="2"/>
    </font>
    <font>
      <sz val="9"/>
      <color indexed="8"/>
      <name val="Tahoma"/>
      <family val="2"/>
    </font>
    <font>
      <sz val="11"/>
      <color indexed="8"/>
      <name val="Tahoma"/>
      <family val="2"/>
    </font>
    <font>
      <u/>
      <sz val="10"/>
      <color theme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0"/>
      </patternFill>
    </fill>
    <fill>
      <patternFill patternType="solid">
        <fgColor indexed="12"/>
        <bgColor indexed="0"/>
      </patternFill>
    </fill>
    <fill>
      <patternFill patternType="solid">
        <fgColor indexed="13"/>
        <bgColor indexed="0"/>
      </patternFill>
    </fill>
    <fill>
      <patternFill patternType="solid">
        <fgColor indexed="14"/>
        <bgColor indexed="0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0">
    <xf numFmtId="0" fontId="0" fillId="0" borderId="0" xfId="0"/>
    <xf numFmtId="0" fontId="4" fillId="0" borderId="1" xfId="0" applyFont="1" applyBorder="1" applyAlignment="1" applyProtection="1">
      <alignment vertical="top" wrapText="1" readingOrder="1"/>
      <protection locked="0"/>
    </xf>
    <xf numFmtId="0" fontId="4" fillId="2" borderId="2" xfId="0" applyFont="1" applyFill="1" applyBorder="1" applyAlignment="1" applyProtection="1">
      <alignment vertical="top" wrapText="1" readingOrder="1"/>
      <protection locked="0"/>
    </xf>
    <xf numFmtId="0" fontId="5" fillId="3" borderId="2" xfId="0" applyFont="1" applyFill="1" applyBorder="1" applyAlignment="1" applyProtection="1">
      <alignment vertical="top" wrapText="1" readingOrder="1"/>
      <protection locked="0"/>
    </xf>
    <xf numFmtId="0" fontId="6" fillId="0" borderId="2" xfId="0" applyFont="1" applyBorder="1" applyAlignment="1" applyProtection="1">
      <alignment vertical="top" wrapText="1" readingOrder="1"/>
      <protection locked="0"/>
    </xf>
    <xf numFmtId="0" fontId="6" fillId="0" borderId="2" xfId="0" applyFont="1" applyBorder="1" applyAlignment="1" applyProtection="1">
      <alignment horizontal="left" vertical="top" wrapText="1" readingOrder="1"/>
      <protection locked="0"/>
    </xf>
    <xf numFmtId="0" fontId="7" fillId="4" borderId="2" xfId="0" applyFont="1" applyFill="1" applyBorder="1" applyAlignment="1" applyProtection="1">
      <alignment vertical="top" wrapText="1" readingOrder="1"/>
      <protection locked="0"/>
    </xf>
    <xf numFmtId="0" fontId="5" fillId="5" borderId="2" xfId="0" applyFont="1" applyFill="1" applyBorder="1" applyAlignment="1" applyProtection="1">
      <alignment vertical="top" wrapText="1" readingOrder="1"/>
      <protection locked="0"/>
    </xf>
    <xf numFmtId="164" fontId="6" fillId="0" borderId="2" xfId="0" applyNumberFormat="1" applyFont="1" applyBorder="1" applyAlignment="1" applyProtection="1">
      <alignment vertical="top" wrapText="1" readingOrder="1"/>
      <protection locked="0"/>
    </xf>
    <xf numFmtId="165" fontId="6" fillId="0" borderId="2" xfId="0" applyNumberFormat="1" applyFont="1" applyBorder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horizontal="left" vertical="top" wrapText="1" readingOrder="1"/>
      <protection locked="0"/>
    </xf>
    <xf numFmtId="0" fontId="2" fillId="0" borderId="0" xfId="0" applyFont="1" applyAlignment="1" applyProtection="1">
      <alignment horizontal="left" vertical="top" wrapText="1" readingOrder="1"/>
      <protection locked="0"/>
    </xf>
    <xf numFmtId="0" fontId="4" fillId="2" borderId="2" xfId="0" applyFont="1" applyFill="1" applyBorder="1" applyAlignment="1" applyProtection="1">
      <alignment horizontal="center" vertical="top" wrapText="1" readingOrder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0" fillId="0" borderId="4" xfId="0" applyBorder="1" applyAlignment="1" applyProtection="1">
      <alignment vertical="top" wrapText="1"/>
      <protection locked="0"/>
    </xf>
    <xf numFmtId="0" fontId="4" fillId="0" borderId="5" xfId="0" applyFont="1" applyBorder="1" applyAlignment="1" applyProtection="1">
      <alignment vertical="top" wrapText="1" readingOrder="1"/>
      <protection locked="0"/>
    </xf>
    <xf numFmtId="0" fontId="0" fillId="0" borderId="1" xfId="0" applyBorder="1" applyAlignment="1" applyProtection="1">
      <alignment vertical="top" wrapText="1"/>
      <protection locked="0"/>
    </xf>
    <xf numFmtId="0" fontId="0" fillId="0" borderId="5" xfId="0" applyBorder="1" applyAlignment="1" applyProtection="1">
      <alignment vertical="top" wrapText="1"/>
      <protection locked="0"/>
    </xf>
    <xf numFmtId="0" fontId="8" fillId="0" borderId="2" xfId="1" applyBorder="1" applyAlignment="1" applyProtection="1">
      <alignment vertical="top" wrapText="1" readingOrder="1"/>
      <protection locked="0"/>
    </xf>
    <xf numFmtId="166" fontId="6" fillId="0" borderId="2" xfId="0" applyNumberFormat="1" applyFont="1" applyBorder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horizontal="left" vertical="top" wrapText="1" readingOrder="1"/>
      <protection locked="0"/>
    </xf>
    <xf numFmtId="0" fontId="2" fillId="0" borderId="0" xfId="0" applyFont="1" applyAlignment="1" applyProtection="1">
      <alignment horizontal="left" vertical="top" wrapText="1" readingOrder="1"/>
      <protection locked="0"/>
    </xf>
    <xf numFmtId="0" fontId="4" fillId="2" borderId="2" xfId="0" applyFont="1" applyFill="1" applyBorder="1" applyAlignment="1" applyProtection="1">
      <alignment horizontal="center" vertical="top" wrapText="1" readingOrder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0" fillId="0" borderId="4" xfId="0" applyBorder="1" applyAlignment="1" applyProtection="1">
      <alignment vertical="top" wrapText="1"/>
      <protection locked="0"/>
    </xf>
    <xf numFmtId="0" fontId="0" fillId="0" borderId="0" xfId="0" applyAlignment="1"/>
    <xf numFmtId="0" fontId="1" fillId="0" borderId="0" xfId="0" applyFont="1" applyAlignment="1" applyProtection="1">
      <alignment vertical="top" wrapText="1" readingOrder="1"/>
      <protection locked="0"/>
    </xf>
    <xf numFmtId="0" fontId="3" fillId="0" borderId="2" xfId="0" applyFont="1" applyBorder="1" applyAlignment="1" applyProtection="1">
      <alignment vertical="top" wrapText="1" readingOrder="1"/>
      <protection locked="0"/>
    </xf>
    <xf numFmtId="0" fontId="1" fillId="0" borderId="0" xfId="0" applyFont="1" applyAlignment="1" applyProtection="1">
      <alignment vertical="top" wrapText="1" readingOrder="1"/>
      <protection locked="0"/>
    </xf>
    <xf numFmtId="0" fontId="3" fillId="0" borderId="2" xfId="0" applyFont="1" applyBorder="1" applyAlignment="1" applyProtection="1">
      <alignment horizontal="left" vertical="top" wrapText="1" readingOrder="1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6495ED"/>
      <rgbColor rgb="00696969"/>
      <rgbColor rgb="00C0C0C0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15</xdr:col>
      <xdr:colOff>1076325</xdr:colOff>
      <xdr:row>6</xdr:row>
      <xdr:rowOff>219075</xdr:rowOff>
    </xdr:to>
    <xdr:pic>
      <xdr:nvPicPr>
        <xdr:cNvPr id="1028" name="Picture 0" descr="15497b4b-887c-4e1f-b372-519c31b32940">
          <a:extLst>
            <a:ext uri="{FF2B5EF4-FFF2-40B4-BE49-F238E27FC236}">
              <a16:creationId xmlns:a16="http://schemas.microsoft.com/office/drawing/2014/main" id="{52D9A347-234B-43A5-6269-911B6297A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0" y="9525"/>
          <a:ext cx="107632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0</xdr:rowOff>
    </xdr:from>
    <xdr:to>
      <xdr:col>34</xdr:col>
      <xdr:colOff>1076325</xdr:colOff>
      <xdr:row>8</xdr:row>
      <xdr:rowOff>9525</xdr:rowOff>
    </xdr:to>
    <xdr:pic>
      <xdr:nvPicPr>
        <xdr:cNvPr id="2052" name="Picture 0" descr="15497b4b-887c-4e1f-b372-519c31b32940">
          <a:extLst>
            <a:ext uri="{FF2B5EF4-FFF2-40B4-BE49-F238E27FC236}">
              <a16:creationId xmlns:a16="http://schemas.microsoft.com/office/drawing/2014/main" id="{4C19AE60-69E0-5FAE-DDCF-33B78212E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02475" y="0"/>
          <a:ext cx="1076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8</xdr:col>
      <xdr:colOff>1076325</xdr:colOff>
      <xdr:row>7</xdr:row>
      <xdr:rowOff>219075</xdr:rowOff>
    </xdr:to>
    <xdr:pic>
      <xdr:nvPicPr>
        <xdr:cNvPr id="3076" name="Picture 0" descr="15497b4b-887c-4e1f-b372-519c31b32940">
          <a:extLst>
            <a:ext uri="{FF2B5EF4-FFF2-40B4-BE49-F238E27FC236}">
              <a16:creationId xmlns:a16="http://schemas.microsoft.com/office/drawing/2014/main" id="{C8A528FF-FD98-A981-A754-E12790C39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48650" y="180975"/>
          <a:ext cx="107632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megan.vandernoord@adelaidecasino.com.au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1E2D7-B009-43AA-859C-AB4C7A8D2F5A}">
  <dimension ref="A1:P16"/>
  <sheetViews>
    <sheetView showGridLines="0" workbookViewId="0">
      <pane ySplit="1" topLeftCell="A2" activePane="bottomLeft" state="frozenSplit"/>
      <selection pane="bottomLeft" activeCell="A12" sqref="A12:A16"/>
    </sheetView>
  </sheetViews>
  <sheetFormatPr defaultRowHeight="12.6"/>
  <cols>
    <col min="1" max="4" width="13.7109375" customWidth="1"/>
    <col min="5" max="5" width="8.140625" customWidth="1"/>
    <col min="6" max="6" width="10" customWidth="1"/>
    <col min="7" max="7" width="29.140625" customWidth="1"/>
    <col min="8" max="8" width="8.140625" customWidth="1"/>
    <col min="9" max="10" width="29.140625" customWidth="1"/>
    <col min="11" max="11" width="20.5703125" customWidth="1"/>
    <col min="12" max="12" width="19.140625" customWidth="1"/>
    <col min="13" max="13" width="8.140625" customWidth="1"/>
    <col min="14" max="14" width="12.28515625" customWidth="1"/>
    <col min="15" max="15" width="12.42578125" customWidth="1"/>
    <col min="16" max="16" width="20" customWidth="1"/>
    <col min="17" max="18" width="0" hidden="1" customWidth="1"/>
    <col min="19" max="19" width="57" customWidth="1"/>
  </cols>
  <sheetData>
    <row r="1" spans="1:16" ht="0.75" customHeight="1"/>
    <row r="2" spans="1:16" ht="1.7" customHeight="1">
      <c r="P2" s="25"/>
    </row>
    <row r="3" spans="1:16" ht="28.35" customHeight="1">
      <c r="A3" s="26" t="s">
        <v>0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</row>
    <row r="4" spans="1:16" ht="5.45" customHeight="1">
      <c r="P4" s="25"/>
    </row>
    <row r="5" spans="1:16" ht="15.75" customHeight="1">
      <c r="A5" s="20" t="s">
        <v>1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</row>
    <row r="6" spans="1:16" ht="6.6" customHeight="1">
      <c r="P6" s="25"/>
    </row>
    <row r="7" spans="1:16" ht="17.100000000000001" customHeight="1">
      <c r="A7" s="21" t="s">
        <v>2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</row>
    <row r="8" spans="1:16" ht="409.6" hidden="1" customHeight="1">
      <c r="P8" s="25"/>
    </row>
    <row r="9" spans="1:16" ht="9" customHeight="1"/>
    <row r="10" spans="1:16" ht="14.1">
      <c r="A10" s="1"/>
      <c r="B10" s="1"/>
      <c r="C10" s="1"/>
      <c r="D10" s="1"/>
      <c r="E10" s="22" t="s">
        <v>3</v>
      </c>
      <c r="F10" s="23"/>
      <c r="G10" s="24"/>
      <c r="H10" s="22" t="s">
        <v>4</v>
      </c>
      <c r="I10" s="23"/>
      <c r="J10" s="23"/>
      <c r="K10" s="23"/>
      <c r="L10" s="23"/>
      <c r="M10" s="23"/>
      <c r="N10" s="24"/>
    </row>
    <row r="11" spans="1:16" ht="27.95">
      <c r="A11" s="2" t="s">
        <v>5</v>
      </c>
      <c r="B11" s="2" t="s">
        <v>6</v>
      </c>
      <c r="C11" s="2" t="s">
        <v>7</v>
      </c>
      <c r="D11" s="2" t="s">
        <v>8</v>
      </c>
      <c r="E11" s="3" t="s">
        <v>9</v>
      </c>
      <c r="F11" s="3" t="s">
        <v>10</v>
      </c>
      <c r="G11" s="3" t="s">
        <v>11</v>
      </c>
      <c r="H11" s="3" t="s">
        <v>12</v>
      </c>
      <c r="I11" s="3" t="s">
        <v>13</v>
      </c>
      <c r="J11" s="3" t="s">
        <v>14</v>
      </c>
      <c r="K11" s="3" t="s">
        <v>15</v>
      </c>
      <c r="L11" s="3" t="s">
        <v>16</v>
      </c>
      <c r="M11" s="3" t="s">
        <v>17</v>
      </c>
      <c r="N11" s="3" t="s">
        <v>18</v>
      </c>
    </row>
    <row r="12" spans="1:16" ht="24.95">
      <c r="A12" s="27">
        <v>111</v>
      </c>
      <c r="B12" s="4" t="s">
        <v>6</v>
      </c>
      <c r="C12" s="4" t="s">
        <v>19</v>
      </c>
      <c r="D12" s="4"/>
      <c r="E12" s="5" t="b">
        <v>1</v>
      </c>
      <c r="F12" s="4" t="b">
        <v>0</v>
      </c>
      <c r="G12" s="18" t="s">
        <v>20</v>
      </c>
      <c r="H12" s="5" t="b">
        <v>0</v>
      </c>
      <c r="I12" s="4" t="s">
        <v>21</v>
      </c>
      <c r="J12" s="4"/>
      <c r="K12" s="4" t="s">
        <v>22</v>
      </c>
      <c r="L12" s="4" t="s">
        <v>23</v>
      </c>
      <c r="M12" s="4" t="s">
        <v>24</v>
      </c>
      <c r="N12" s="4" t="s">
        <v>25</v>
      </c>
    </row>
    <row r="13" spans="1:16">
      <c r="A13" s="27">
        <v>222</v>
      </c>
      <c r="B13" s="4" t="s">
        <v>26</v>
      </c>
      <c r="C13" s="4" t="s">
        <v>27</v>
      </c>
      <c r="D13" s="4"/>
      <c r="E13" s="5" t="b">
        <v>0</v>
      </c>
      <c r="F13" s="4"/>
      <c r="G13" s="4"/>
      <c r="H13" s="5" t="b">
        <v>0</v>
      </c>
      <c r="I13" s="4" t="s">
        <v>28</v>
      </c>
      <c r="J13" s="4"/>
      <c r="K13" s="4" t="s">
        <v>29</v>
      </c>
      <c r="L13" s="4" t="s">
        <v>23</v>
      </c>
      <c r="M13" s="4" t="s">
        <v>30</v>
      </c>
      <c r="N13" s="4" t="s">
        <v>25</v>
      </c>
    </row>
    <row r="14" spans="1:16">
      <c r="A14" s="27">
        <v>333</v>
      </c>
      <c r="B14" s="4" t="s">
        <v>31</v>
      </c>
      <c r="C14" s="4" t="s">
        <v>32</v>
      </c>
      <c r="D14" s="4"/>
      <c r="E14" s="5" t="b">
        <v>0</v>
      </c>
      <c r="F14" s="4" t="b">
        <v>0</v>
      </c>
      <c r="G14" s="4"/>
      <c r="H14" s="5" t="b">
        <v>1</v>
      </c>
      <c r="I14" s="4" t="s">
        <v>33</v>
      </c>
      <c r="J14" s="4"/>
      <c r="K14" s="4" t="s">
        <v>34</v>
      </c>
      <c r="L14" s="4" t="s">
        <v>23</v>
      </c>
      <c r="M14" s="4" t="s">
        <v>35</v>
      </c>
      <c r="N14" s="4" t="s">
        <v>25</v>
      </c>
    </row>
    <row r="15" spans="1:16">
      <c r="A15" s="27">
        <v>999</v>
      </c>
      <c r="B15" s="4" t="s">
        <v>36</v>
      </c>
      <c r="C15" s="4" t="s">
        <v>37</v>
      </c>
      <c r="D15" s="4"/>
      <c r="E15" s="5" t="b">
        <v>0</v>
      </c>
      <c r="F15" s="4"/>
      <c r="G15" s="4"/>
      <c r="H15" s="5" t="b">
        <v>0</v>
      </c>
      <c r="I15" s="4" t="s">
        <v>38</v>
      </c>
      <c r="J15" s="4"/>
      <c r="K15" s="4" t="s">
        <v>39</v>
      </c>
      <c r="L15" s="4" t="s">
        <v>23</v>
      </c>
      <c r="M15" s="4" t="s">
        <v>40</v>
      </c>
      <c r="N15" s="4" t="s">
        <v>25</v>
      </c>
    </row>
    <row r="16" spans="1:16">
      <c r="A16" s="27">
        <v>101</v>
      </c>
      <c r="B16" s="4" t="s">
        <v>41</v>
      </c>
      <c r="C16" s="4" t="s">
        <v>42</v>
      </c>
      <c r="D16" s="4"/>
      <c r="E16" s="5" t="b">
        <v>0</v>
      </c>
      <c r="F16" s="4"/>
      <c r="G16" s="4"/>
      <c r="H16" s="5" t="b">
        <v>0</v>
      </c>
      <c r="I16" s="4" t="s">
        <v>43</v>
      </c>
      <c r="J16" s="4"/>
      <c r="K16" s="4" t="s">
        <v>44</v>
      </c>
      <c r="L16" s="4" t="s">
        <v>23</v>
      </c>
      <c r="M16" s="4" t="s">
        <v>45</v>
      </c>
      <c r="N16" s="4" t="s">
        <v>25</v>
      </c>
    </row>
  </sheetData>
  <mergeCells count="6">
    <mergeCell ref="P2:P8"/>
    <mergeCell ref="A3:O3"/>
    <mergeCell ref="A5:O5"/>
    <mergeCell ref="A7:O7"/>
    <mergeCell ref="E10:G10"/>
    <mergeCell ref="H10:N10"/>
  </mergeCells>
  <phoneticPr fontId="0" type="noConversion"/>
  <hyperlinks>
    <hyperlink ref="G12" r:id="rId1" xr:uid="{735F06CC-DB34-4729-A235-A8ADA0DD39CB}"/>
  </hyperlinks>
  <pageMargins left="0.5" right="0.5" top="1" bottom="1" header="1" footer="1"/>
  <pageSetup paperSize="9" orientation="landscape" horizontalDpi="0" verticalDpi="0"/>
  <headerFooter alignWithMargins="0">
    <oddFooter>&amp;L&amp;C&amp;R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59CCB-6F5E-428A-9B82-9C001B082457}">
  <dimension ref="A1:AF17"/>
  <sheetViews>
    <sheetView showGridLines="0" tabSelected="1" workbookViewId="0">
      <pane xSplit="1" ySplit="12" topLeftCell="B13" activePane="bottomRight" state="frozen"/>
      <selection pane="bottomRight" activeCell="R14" sqref="R14"/>
      <selection pane="bottomLeft" activeCell="A13" sqref="A13"/>
      <selection pane="topRight" activeCell="B1" sqref="B1"/>
    </sheetView>
  </sheetViews>
  <sheetFormatPr defaultRowHeight="12.6"/>
  <cols>
    <col min="1" max="2" width="13.7109375" customWidth="1"/>
    <col min="3" max="4" width="21.85546875" customWidth="1"/>
    <col min="5" max="5" width="13.7109375" customWidth="1"/>
    <col min="6" max="6" width="8.140625" customWidth="1"/>
    <col min="7" max="7" width="10.85546875" customWidth="1"/>
    <col min="8" max="8" width="12" customWidth="1"/>
    <col min="9" max="9" width="15.5703125" customWidth="1"/>
    <col min="10" max="15" width="12.28515625" customWidth="1"/>
    <col min="16" max="30" width="5.42578125" customWidth="1"/>
    <col min="31" max="31" width="6.28515625" customWidth="1"/>
    <col min="32" max="32" width="5.42578125" customWidth="1"/>
    <col min="33" max="33" width="0" hidden="1" customWidth="1"/>
    <col min="34" max="34" width="12.42578125" customWidth="1"/>
    <col min="35" max="35" width="20" customWidth="1"/>
    <col min="36" max="36" width="0" hidden="1" customWidth="1"/>
  </cols>
  <sheetData>
    <row r="1" spans="1:32" ht="12.75" hidden="1" customHeight="1">
      <c r="A1" t="s">
        <v>46</v>
      </c>
    </row>
    <row r="2" spans="1:32" ht="12.75" hidden="1" customHeight="1"/>
    <row r="3" spans="1:32" ht="12.75" hidden="1" customHeight="1"/>
    <row r="4" spans="1:32" ht="12.75" hidden="1" customHeight="1">
      <c r="A4" s="28" t="s">
        <v>0</v>
      </c>
      <c r="B4" s="28"/>
    </row>
    <row r="5" spans="1:32" ht="12.75" hidden="1" customHeight="1"/>
    <row r="6" spans="1:32" ht="12.75" hidden="1" customHeight="1">
      <c r="A6" s="10" t="s">
        <v>1</v>
      </c>
      <c r="B6" s="10"/>
    </row>
    <row r="7" spans="1:32" ht="12.75" hidden="1" customHeight="1"/>
    <row r="8" spans="1:32" ht="12.75" hidden="1" customHeight="1">
      <c r="A8" s="11" t="s">
        <v>47</v>
      </c>
      <c r="B8" s="11"/>
    </row>
    <row r="9" spans="1:32" ht="10.5" hidden="1" customHeight="1"/>
    <row r="11" spans="1:32" ht="14.25" customHeight="1">
      <c r="A11" s="15"/>
      <c r="B11" s="1"/>
      <c r="C11" s="16"/>
      <c r="D11" s="16"/>
      <c r="E11" s="16"/>
      <c r="F11" s="16"/>
      <c r="G11" s="16"/>
      <c r="H11" s="16"/>
      <c r="I11" s="17"/>
      <c r="J11" s="12" t="s">
        <v>48</v>
      </c>
      <c r="K11" s="13"/>
      <c r="L11" s="13"/>
      <c r="M11" s="13"/>
      <c r="N11" s="13"/>
      <c r="O11" s="14"/>
      <c r="P11" s="12" t="s">
        <v>49</v>
      </c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4"/>
      <c r="AD11" s="12" t="s">
        <v>50</v>
      </c>
      <c r="AE11" s="13"/>
      <c r="AF11" s="14"/>
    </row>
    <row r="12" spans="1:32" ht="27.95">
      <c r="A12" s="2" t="s">
        <v>5</v>
      </c>
      <c r="B12" s="2"/>
      <c r="C12" s="2" t="s">
        <v>51</v>
      </c>
      <c r="D12" s="2" t="s">
        <v>52</v>
      </c>
      <c r="E12" s="2" t="s">
        <v>53</v>
      </c>
      <c r="F12" s="2" t="s">
        <v>54</v>
      </c>
      <c r="G12" s="2" t="s">
        <v>55</v>
      </c>
      <c r="H12" s="2" t="s">
        <v>56</v>
      </c>
      <c r="I12" s="2" t="s">
        <v>57</v>
      </c>
      <c r="J12" s="3" t="s">
        <v>58</v>
      </c>
      <c r="K12" s="3" t="s">
        <v>59</v>
      </c>
      <c r="L12" s="3" t="s">
        <v>60</v>
      </c>
      <c r="M12" s="3" t="s">
        <v>61</v>
      </c>
      <c r="N12" s="3" t="s">
        <v>62</v>
      </c>
      <c r="O12" s="3" t="s">
        <v>63</v>
      </c>
      <c r="P12" s="6" t="s">
        <v>64</v>
      </c>
      <c r="Q12" s="6" t="s">
        <v>65</v>
      </c>
      <c r="R12" s="6" t="s">
        <v>66</v>
      </c>
      <c r="S12" s="6" t="s">
        <v>67</v>
      </c>
      <c r="T12" s="6" t="s">
        <v>68</v>
      </c>
      <c r="U12" s="6" t="s">
        <v>69</v>
      </c>
      <c r="V12" s="6" t="s">
        <v>70</v>
      </c>
      <c r="W12" s="6" t="s">
        <v>71</v>
      </c>
      <c r="X12" s="6" t="s">
        <v>72</v>
      </c>
      <c r="Y12" s="6" t="s">
        <v>73</v>
      </c>
      <c r="Z12" s="6" t="s">
        <v>74</v>
      </c>
      <c r="AA12" s="6" t="s">
        <v>75</v>
      </c>
      <c r="AB12" s="6" t="s">
        <v>76</v>
      </c>
      <c r="AC12" s="6" t="s">
        <v>77</v>
      </c>
      <c r="AD12" s="7" t="s">
        <v>78</v>
      </c>
      <c r="AE12" s="7" t="s">
        <v>79</v>
      </c>
      <c r="AF12" s="7" t="s">
        <v>80</v>
      </c>
    </row>
    <row r="13" spans="1:32">
      <c r="A13" s="27">
        <v>111</v>
      </c>
      <c r="B13" s="27">
        <f>COUNTIF(A:A,A13)</f>
        <v>1</v>
      </c>
      <c r="C13" s="8">
        <v>44843.458669641201</v>
      </c>
      <c r="D13" s="4"/>
      <c r="E13" s="4" t="s">
        <v>51</v>
      </c>
      <c r="F13" s="4" t="s">
        <v>81</v>
      </c>
      <c r="G13" s="4"/>
      <c r="H13" s="4" t="s">
        <v>82</v>
      </c>
      <c r="I13" s="4">
        <v>1</v>
      </c>
      <c r="J13" s="9">
        <v>2000.05</v>
      </c>
      <c r="K13" s="4">
        <v>0</v>
      </c>
      <c r="L13" s="9">
        <v>0</v>
      </c>
      <c r="M13" s="4">
        <v>500</v>
      </c>
      <c r="N13" s="9">
        <v>0</v>
      </c>
      <c r="O13" s="4">
        <v>0</v>
      </c>
      <c r="P13" s="19"/>
      <c r="Q13" s="19"/>
      <c r="R13" s="19">
        <v>0.47638888888888886</v>
      </c>
      <c r="S13" s="19">
        <v>0.78541666666666665</v>
      </c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4">
        <v>10</v>
      </c>
      <c r="AE13" s="4" t="s">
        <v>79</v>
      </c>
      <c r="AF13" s="4">
        <v>3</v>
      </c>
    </row>
    <row r="14" spans="1:32">
      <c r="A14" s="27">
        <v>222</v>
      </c>
      <c r="B14" s="27">
        <f>COUNTIF(A:A,A14)</f>
        <v>1</v>
      </c>
      <c r="C14" s="8">
        <v>45252.942322488423</v>
      </c>
      <c r="D14" s="4"/>
      <c r="E14" s="4" t="s">
        <v>51</v>
      </c>
      <c r="F14" s="4" t="s">
        <v>81</v>
      </c>
      <c r="G14" s="4"/>
      <c r="H14" s="4" t="s">
        <v>83</v>
      </c>
      <c r="I14" s="4">
        <v>0</v>
      </c>
      <c r="J14" s="9">
        <v>0</v>
      </c>
      <c r="K14" s="4">
        <v>240</v>
      </c>
      <c r="L14" s="9">
        <v>300</v>
      </c>
      <c r="M14" s="4">
        <v>0</v>
      </c>
      <c r="N14" s="9">
        <v>0</v>
      </c>
      <c r="O14" s="4">
        <v>0</v>
      </c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4">
        <v>0</v>
      </c>
      <c r="AE14" s="4" t="s">
        <v>79</v>
      </c>
      <c r="AF14" s="4">
        <v>0</v>
      </c>
    </row>
    <row r="15" spans="1:32">
      <c r="A15" s="27">
        <v>333</v>
      </c>
      <c r="B15" s="27">
        <f>COUNTIF(A:A,A15)</f>
        <v>1</v>
      </c>
      <c r="C15" s="8">
        <v>45253.940901041664</v>
      </c>
      <c r="D15" s="4"/>
      <c r="E15" s="4" t="s">
        <v>84</v>
      </c>
      <c r="F15" s="4" t="s">
        <v>81</v>
      </c>
      <c r="G15" s="4"/>
      <c r="H15" s="4" t="s">
        <v>83</v>
      </c>
      <c r="I15" s="4">
        <v>0</v>
      </c>
      <c r="J15" s="9">
        <v>0</v>
      </c>
      <c r="K15" s="4">
        <v>120</v>
      </c>
      <c r="L15" s="9">
        <v>300</v>
      </c>
      <c r="M15" s="4">
        <v>0</v>
      </c>
      <c r="N15" s="9">
        <v>5000</v>
      </c>
      <c r="O15" s="4">
        <v>0</v>
      </c>
      <c r="P15" s="19">
        <v>8.3333333333333329E-2</v>
      </c>
      <c r="Q15" s="19">
        <v>0.625</v>
      </c>
      <c r="R15" s="19">
        <v>0.5</v>
      </c>
      <c r="S15" s="19">
        <v>0.54166666666666663</v>
      </c>
      <c r="T15" s="19">
        <v>0</v>
      </c>
      <c r="U15" s="19">
        <v>0.99930555555555556</v>
      </c>
      <c r="V15" s="19">
        <v>0.58333333333333337</v>
      </c>
      <c r="W15" s="19">
        <v>0.60138888888888886</v>
      </c>
      <c r="X15" s="19">
        <v>0.6430555555555556</v>
      </c>
      <c r="Y15" s="19">
        <v>0.875</v>
      </c>
      <c r="Z15" s="19">
        <v>0.75</v>
      </c>
      <c r="AA15" s="19">
        <v>0.79166666666666663</v>
      </c>
      <c r="AB15" s="19">
        <v>0.91666666666666663</v>
      </c>
      <c r="AC15" s="19">
        <v>0.97916666666666663</v>
      </c>
      <c r="AD15" s="4">
        <v>0</v>
      </c>
      <c r="AE15" s="4" t="s">
        <v>79</v>
      </c>
      <c r="AF15" s="4">
        <v>0</v>
      </c>
    </row>
    <row r="16" spans="1:32">
      <c r="A16" s="27">
        <v>999</v>
      </c>
      <c r="B16" s="27">
        <f>COUNTIF(A:A,A16)</f>
        <v>1</v>
      </c>
      <c r="C16" s="8">
        <v>41685.273723877312</v>
      </c>
      <c r="D16" s="4"/>
      <c r="E16" s="4" t="s">
        <v>51</v>
      </c>
      <c r="F16" s="4" t="s">
        <v>85</v>
      </c>
      <c r="G16" s="4"/>
      <c r="H16" s="4" t="s">
        <v>82</v>
      </c>
      <c r="I16" s="4">
        <v>3</v>
      </c>
      <c r="J16" s="9">
        <v>1000</v>
      </c>
      <c r="K16" s="4">
        <v>0</v>
      </c>
      <c r="L16" s="9">
        <v>0</v>
      </c>
      <c r="M16" s="4">
        <v>0</v>
      </c>
      <c r="N16" s="9">
        <v>0</v>
      </c>
      <c r="O16" s="4">
        <v>800</v>
      </c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4"/>
      <c r="AE16" s="4" t="s">
        <v>79</v>
      </c>
      <c r="AF16" s="4"/>
    </row>
    <row r="17" spans="1:32">
      <c r="A17" s="27">
        <v>101</v>
      </c>
      <c r="B17" s="27">
        <f>COUNTIF(A:A,A17)</f>
        <v>1</v>
      </c>
      <c r="C17" s="8">
        <v>45525.71668626157</v>
      </c>
      <c r="D17" s="4"/>
      <c r="E17" s="4" t="s">
        <v>84</v>
      </c>
      <c r="F17" s="4" t="s">
        <v>85</v>
      </c>
      <c r="G17" s="4"/>
      <c r="H17" s="4" t="s">
        <v>82</v>
      </c>
      <c r="I17" s="4"/>
      <c r="J17" s="9">
        <v>10</v>
      </c>
      <c r="K17" s="4">
        <v>0</v>
      </c>
      <c r="L17" s="9">
        <v>0</v>
      </c>
      <c r="M17" s="4">
        <v>0</v>
      </c>
      <c r="N17" s="9">
        <v>0</v>
      </c>
      <c r="O17" s="4">
        <v>0</v>
      </c>
      <c r="P17" s="19">
        <v>0.25</v>
      </c>
      <c r="Q17" s="19">
        <v>0.33333333333333331</v>
      </c>
      <c r="R17" s="19">
        <v>0.5</v>
      </c>
      <c r="S17" s="19">
        <v>0.54166666666666663</v>
      </c>
      <c r="T17" s="19">
        <v>0.41666666666666669</v>
      </c>
      <c r="U17" s="19">
        <v>0.65625</v>
      </c>
      <c r="V17" s="19">
        <v>0.81041666666666667</v>
      </c>
      <c r="W17" s="19">
        <v>0.83333333333333337</v>
      </c>
      <c r="X17" s="19">
        <v>0.58333333333333337</v>
      </c>
      <c r="Y17" s="19">
        <v>0.60138888888888886</v>
      </c>
      <c r="Z17" s="19">
        <v>0.33333333333333331</v>
      </c>
      <c r="AA17" s="19">
        <v>0.41666666666666669</v>
      </c>
      <c r="AB17" s="19">
        <v>0.45833333333333331</v>
      </c>
      <c r="AC17" s="19">
        <v>0.5</v>
      </c>
      <c r="AD17" s="4">
        <v>5</v>
      </c>
      <c r="AE17" s="4" t="s">
        <v>79</v>
      </c>
      <c r="AF17" s="4">
        <v>1</v>
      </c>
    </row>
  </sheetData>
  <autoFilter ref="A12:AJ17" xr:uid="{62D59CCB-6F5E-428A-9B82-9C001B082457}"/>
  <phoneticPr fontId="0" type="noConversion"/>
  <pageMargins left="0.5" right="0.5" top="1" bottom="1" header="1" footer="1"/>
  <pageSetup paperSize="9" orientation="landscape" horizontalDpi="0" verticalDpi="0"/>
  <headerFooter alignWithMargins="0">
    <oddFooter>&amp;L&amp;C&amp;R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BE101-FC0E-48D2-8202-03C52738101C}">
  <dimension ref="A1:I34"/>
  <sheetViews>
    <sheetView showGridLines="0" workbookViewId="0">
      <pane ySplit="1" topLeftCell="A11" activePane="bottomLeft" state="frozenSplit"/>
      <selection pane="bottomLeft" activeCell="A11" sqref="A11"/>
    </sheetView>
  </sheetViews>
  <sheetFormatPr defaultRowHeight="12.6"/>
  <cols>
    <col min="1" max="1" width="13.7109375" customWidth="1"/>
    <col min="2" max="2" width="21.85546875" customWidth="1"/>
    <col min="3" max="5" width="15" customWidth="1"/>
    <col min="6" max="6" width="0" hidden="1" customWidth="1"/>
    <col min="7" max="7" width="43" customWidth="1"/>
    <col min="8" max="8" width="0.140625" customWidth="1"/>
    <col min="9" max="9" width="20" customWidth="1"/>
    <col min="10" max="10" width="0" hidden="1" customWidth="1"/>
    <col min="11" max="11" width="174.42578125" customWidth="1"/>
  </cols>
  <sheetData>
    <row r="1" spans="1:9" ht="0.75" customHeight="1"/>
    <row r="2" spans="1:9" ht="14.1" customHeight="1"/>
    <row r="3" spans="1:9" ht="1.7" customHeight="1">
      <c r="I3" s="25"/>
    </row>
    <row r="4" spans="1:9" ht="28.35" customHeight="1">
      <c r="A4" s="26" t="s">
        <v>0</v>
      </c>
      <c r="B4" s="25"/>
      <c r="C4" s="25"/>
      <c r="D4" s="25"/>
      <c r="E4" s="25"/>
      <c r="F4" s="25"/>
      <c r="G4" s="25"/>
      <c r="I4" s="25"/>
    </row>
    <row r="5" spans="1:9" ht="6.4" customHeight="1">
      <c r="I5" s="25"/>
    </row>
    <row r="6" spans="1:9" ht="15.75" customHeight="1">
      <c r="A6" s="20" t="s">
        <v>1</v>
      </c>
      <c r="B6" s="25"/>
      <c r="C6" s="25"/>
      <c r="D6" s="25"/>
      <c r="E6" s="25"/>
      <c r="F6" s="25"/>
      <c r="G6" s="25"/>
      <c r="I6" s="25"/>
    </row>
    <row r="7" spans="1:9" ht="5.65" customHeight="1">
      <c r="I7" s="25"/>
    </row>
    <row r="8" spans="1:9" ht="17.100000000000001" customHeight="1">
      <c r="A8" s="21" t="s">
        <v>86</v>
      </c>
      <c r="B8" s="25"/>
      <c r="C8" s="25"/>
      <c r="D8" s="25"/>
      <c r="E8" s="25"/>
      <c r="F8" s="25"/>
      <c r="G8" s="25"/>
      <c r="I8" s="25"/>
    </row>
    <row r="9" spans="1:9" ht="409.6" hidden="1" customHeight="1">
      <c r="I9" s="25"/>
    </row>
    <row r="10" spans="1:9" ht="9.6" customHeight="1"/>
    <row r="11" spans="1:9" ht="14.1">
      <c r="A11" s="2" t="s">
        <v>5</v>
      </c>
      <c r="B11" s="2" t="s">
        <v>87</v>
      </c>
      <c r="C11" s="2" t="s">
        <v>88</v>
      </c>
      <c r="D11" s="2" t="s">
        <v>89</v>
      </c>
      <c r="E11" s="2" t="s">
        <v>90</v>
      </c>
    </row>
    <row r="12" spans="1:9">
      <c r="A12" s="29">
        <v>111</v>
      </c>
      <c r="B12" s="8">
        <v>45781.44507696759</v>
      </c>
      <c r="C12" s="9">
        <v>0</v>
      </c>
      <c r="D12" s="9">
        <v>3.13</v>
      </c>
      <c r="E12" s="9">
        <v>-3.13</v>
      </c>
    </row>
    <row r="13" spans="1:9">
      <c r="A13" s="29">
        <v>111</v>
      </c>
      <c r="B13" s="8">
        <v>45781.453868055556</v>
      </c>
      <c r="C13" s="9">
        <v>33.94</v>
      </c>
      <c r="D13" s="9">
        <v>0</v>
      </c>
      <c r="E13" s="9">
        <v>33.94</v>
      </c>
    </row>
    <row r="14" spans="1:9">
      <c r="A14" s="29">
        <v>111</v>
      </c>
      <c r="B14" s="8">
        <v>45781.463084409719</v>
      </c>
      <c r="C14" s="9">
        <v>0</v>
      </c>
      <c r="D14" s="9">
        <v>12.25</v>
      </c>
      <c r="E14" s="9">
        <v>-12.25</v>
      </c>
    </row>
    <row r="15" spans="1:9">
      <c r="A15" s="29">
        <v>111</v>
      </c>
      <c r="B15" s="8">
        <v>45781.469265856482</v>
      </c>
      <c r="C15" s="9">
        <v>16.03</v>
      </c>
      <c r="D15" s="9">
        <v>0</v>
      </c>
      <c r="E15" s="9">
        <v>16.03</v>
      </c>
    </row>
    <row r="16" spans="1:9">
      <c r="A16" s="29">
        <v>111</v>
      </c>
      <c r="B16" s="8">
        <v>45781.477639201388</v>
      </c>
      <c r="C16" s="9">
        <v>0</v>
      </c>
      <c r="D16" s="9">
        <v>9.92</v>
      </c>
      <c r="E16" s="9">
        <v>-9.92</v>
      </c>
    </row>
    <row r="17" spans="1:5">
      <c r="A17" s="29">
        <v>111</v>
      </c>
      <c r="B17" s="8">
        <v>45781.481899618055</v>
      </c>
      <c r="C17" s="9">
        <v>10.14</v>
      </c>
      <c r="D17" s="9">
        <v>0</v>
      </c>
      <c r="E17" s="9">
        <v>10.14</v>
      </c>
    </row>
    <row r="18" spans="1:5">
      <c r="A18" s="29">
        <v>111</v>
      </c>
      <c r="B18" s="8">
        <v>45781.505552581017</v>
      </c>
      <c r="C18" s="9">
        <v>0</v>
      </c>
      <c r="D18" s="9">
        <v>10.34</v>
      </c>
      <c r="E18" s="9">
        <v>-10.34</v>
      </c>
    </row>
    <row r="19" spans="1:5">
      <c r="A19" s="29">
        <v>111</v>
      </c>
      <c r="B19" s="8">
        <v>45781.525383715278</v>
      </c>
      <c r="C19" s="9">
        <v>0</v>
      </c>
      <c r="D19" s="9">
        <v>40.6</v>
      </c>
      <c r="E19" s="9">
        <v>-40.6</v>
      </c>
    </row>
    <row r="20" spans="1:5">
      <c r="A20" s="29">
        <v>111</v>
      </c>
      <c r="B20" s="8">
        <v>45781.545237002312</v>
      </c>
      <c r="C20" s="9">
        <v>10.16</v>
      </c>
      <c r="D20" s="9">
        <v>0</v>
      </c>
      <c r="E20" s="9">
        <v>10.16</v>
      </c>
    </row>
    <row r="21" spans="1:5">
      <c r="A21" s="29">
        <v>111</v>
      </c>
      <c r="B21" s="8">
        <v>45781.564213888887</v>
      </c>
      <c r="C21" s="9">
        <v>19.04</v>
      </c>
      <c r="D21" s="9">
        <v>0</v>
      </c>
      <c r="E21" s="9">
        <v>19.04</v>
      </c>
    </row>
    <row r="22" spans="1:5">
      <c r="A22" s="29">
        <v>111</v>
      </c>
      <c r="B22" s="8">
        <v>45781.586747951384</v>
      </c>
      <c r="C22" s="9">
        <v>0</v>
      </c>
      <c r="D22" s="9">
        <v>81.650000000000006</v>
      </c>
      <c r="E22" s="9">
        <v>-81.650000000000006</v>
      </c>
    </row>
    <row r="23" spans="1:5">
      <c r="A23" s="29">
        <v>111</v>
      </c>
      <c r="B23" s="8">
        <v>45781.606764351847</v>
      </c>
      <c r="C23" s="9">
        <v>0</v>
      </c>
      <c r="D23" s="9">
        <v>11.83</v>
      </c>
      <c r="E23" s="9">
        <v>-11.83</v>
      </c>
    </row>
    <row r="24" spans="1:5">
      <c r="A24" s="29">
        <v>222</v>
      </c>
      <c r="B24" s="8">
        <v>45760.447194363427</v>
      </c>
      <c r="C24" s="9">
        <v>0</v>
      </c>
      <c r="D24" s="9">
        <v>4.9800000000000004</v>
      </c>
      <c r="E24" s="9">
        <v>-4.9800000000000004</v>
      </c>
    </row>
    <row r="25" spans="1:5">
      <c r="A25" s="29">
        <v>222</v>
      </c>
      <c r="B25" s="8">
        <v>45760.466733599533</v>
      </c>
      <c r="C25" s="9">
        <v>19</v>
      </c>
      <c r="D25" s="9">
        <v>0</v>
      </c>
      <c r="E25" s="9">
        <v>19</v>
      </c>
    </row>
    <row r="26" spans="1:5">
      <c r="A26" s="29">
        <v>222</v>
      </c>
      <c r="B26" s="8">
        <v>45761.639861770833</v>
      </c>
      <c r="C26" s="9">
        <v>0</v>
      </c>
      <c r="D26" s="9">
        <v>50</v>
      </c>
      <c r="E26" s="9">
        <v>-50</v>
      </c>
    </row>
    <row r="27" spans="1:5">
      <c r="A27" s="29">
        <v>222</v>
      </c>
      <c r="B27" s="8">
        <v>45764.497894479166</v>
      </c>
      <c r="C27" s="9">
        <v>0</v>
      </c>
      <c r="D27" s="9">
        <v>25</v>
      </c>
      <c r="E27" s="9">
        <v>-25</v>
      </c>
    </row>
    <row r="28" spans="1:5">
      <c r="A28" s="29">
        <v>222</v>
      </c>
      <c r="B28" s="8">
        <v>45764.503133252314</v>
      </c>
      <c r="C28" s="9">
        <v>0</v>
      </c>
      <c r="D28" s="9">
        <v>20</v>
      </c>
      <c r="E28" s="9">
        <v>-20</v>
      </c>
    </row>
    <row r="29" spans="1:5">
      <c r="A29" s="29">
        <v>222</v>
      </c>
      <c r="B29" s="8">
        <v>45764.613243518514</v>
      </c>
      <c r="C29" s="9">
        <v>58</v>
      </c>
      <c r="D29" s="9">
        <v>0</v>
      </c>
      <c r="E29" s="9">
        <v>58</v>
      </c>
    </row>
    <row r="30" spans="1:5">
      <c r="A30" s="29">
        <v>333</v>
      </c>
      <c r="B30" s="8">
        <v>45729.706664849538</v>
      </c>
      <c r="C30" s="9">
        <v>10.02</v>
      </c>
      <c r="D30" s="9">
        <v>0</v>
      </c>
      <c r="E30" s="9">
        <v>10.02</v>
      </c>
    </row>
    <row r="31" spans="1:5">
      <c r="A31" s="29">
        <v>333</v>
      </c>
      <c r="B31" s="8">
        <v>45794.616100694446</v>
      </c>
      <c r="C31" s="9">
        <v>8</v>
      </c>
      <c r="D31" s="9">
        <v>0</v>
      </c>
      <c r="E31" s="9">
        <v>8</v>
      </c>
    </row>
    <row r="32" spans="1:5">
      <c r="A32" s="29">
        <v>333</v>
      </c>
      <c r="B32" s="8">
        <v>45816.541403703704</v>
      </c>
      <c r="C32" s="9">
        <v>0</v>
      </c>
      <c r="D32" s="9">
        <v>4.84</v>
      </c>
      <c r="E32" s="9">
        <v>-4.84</v>
      </c>
    </row>
    <row r="33" spans="1:5">
      <c r="A33" s="29">
        <v>333</v>
      </c>
      <c r="B33" s="8">
        <v>45816.552497106481</v>
      </c>
      <c r="C33" s="9">
        <v>4.8099999999999996</v>
      </c>
      <c r="D33" s="9">
        <v>0</v>
      </c>
      <c r="E33" s="9">
        <v>4.8099999999999996</v>
      </c>
    </row>
    <row r="34" spans="1:5" ht="409.6" hidden="1" customHeight="1"/>
  </sheetData>
  <mergeCells count="4">
    <mergeCell ref="I3:I9"/>
    <mergeCell ref="A4:G4"/>
    <mergeCell ref="A6:G6"/>
    <mergeCell ref="A8:G8"/>
  </mergeCells>
  <phoneticPr fontId="0" type="noConversion"/>
  <pageMargins left="0.5" right="0.5" top="1" bottom="1" header="1" footer="1"/>
  <pageSetup paperSize="9" orientation="landscape" horizontalDpi="0" verticalDpi="0"/>
  <headerFooter alignWithMargins="0">
    <oddFooter>&amp;L&amp;C&amp;R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2025-08-08T00:04:13Z</dcterms:created>
  <dcterms:modified xsi:type="dcterms:W3CDTF">2025-10-16T02:02:21Z</dcterms:modified>
  <cp:category/>
  <cp:contentStatus/>
</cp:coreProperties>
</file>